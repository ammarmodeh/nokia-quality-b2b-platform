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.5"/>
    </font>
    <font>
      <name val="Calibri"/>
      <b val="1"/>
      <sz val="10"/>
    </font>
    <font>
      <name val="Calibri"/>
      <b val="1"/>
      <color rgb="00002060"/>
      <sz val="10"/>
    </font>
    <font>
      <name val="Calibri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26" customWidth="1" min="3" max="3"/>
    <col width="14" customWidth="1" min="4" max="4"/>
    <col width="32" customWidth="1" min="5" max="5"/>
    <col width="16" customWidth="1" min="6" max="6"/>
    <col width="32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</cols>
  <sheetData>
    <row r="1" ht="28" customHeight="1">
      <c r="A1" s="1" t="inlineStr">
        <is>
          <t>OWNERSHIP DISTRIBUTION - Period: 01/09/2026 - 30/09/2026</t>
        </is>
      </c>
    </row>
    <row r="2" ht="22" customHeight="1">
      <c r="A2" s="2" t="inlineStr">
        <is>
          <t>OWNER DISTRIBUTION SUMMARY</t>
        </is>
      </c>
    </row>
    <row r="3" ht="20" customHeight="1">
      <c r="A3" s="3" t="inlineStr">
        <is>
          <t>Owner / Entity</t>
        </is>
      </c>
      <c r="B3" s="4" t="inlineStr">
        <is>
          <t>TOTAL ISSUES IDENTIFIED (100% DISTRIBUTION)</t>
        </is>
      </c>
      <c r="D3" s="4" t="inlineStr">
        <is>
          <t>ACCOUNTABLE (YES)</t>
        </is>
      </c>
      <c r="F3" s="5" t="inlineStr">
        <is>
          <t>NON-ACCOUNTABLE (NO)</t>
        </is>
      </c>
      <c r="H3" s="5" t="inlineStr">
        <is>
          <t>DETRACTORS</t>
        </is>
      </c>
      <c r="J3" s="6" t="inlineStr">
        <is>
          <t>NEUTRALS</t>
        </is>
      </c>
    </row>
    <row r="4" ht="22" customHeight="1">
      <c r="B4" s="7" t="inlineStr">
        <is>
          <t>Count</t>
        </is>
      </c>
      <c r="C4" s="7" t="inlineStr">
        <is>
          <t>Percentage</t>
        </is>
      </c>
      <c r="D4" s="7" t="inlineStr">
        <is>
          <t>Team Acc. Yes</t>
        </is>
      </c>
      <c r="E4" s="7" t="inlineStr">
        <is>
          <t>Yes %</t>
        </is>
      </c>
      <c r="F4" s="8" t="inlineStr">
        <is>
          <t>Team Acc. No</t>
        </is>
      </c>
      <c r="G4" s="8" t="inlineStr">
        <is>
          <t>No %</t>
        </is>
      </c>
      <c r="H4" s="8" t="inlineStr">
        <is>
          <t>Detractors</t>
        </is>
      </c>
      <c r="I4" s="8" t="inlineStr">
        <is>
          <t>Detractors %</t>
        </is>
      </c>
      <c r="J4" s="9" t="inlineStr">
        <is>
          <t>Neutrals</t>
        </is>
      </c>
      <c r="K4" s="9" t="inlineStr">
        <is>
          <t>Neutrals %</t>
        </is>
      </c>
    </row>
    <row r="5" ht="20" customHeight="1">
      <c r="A5" s="10" t="inlineStr">
        <is>
          <t>Reach</t>
        </is>
      </c>
      <c r="B5" s="11" t="n">
        <v>6</v>
      </c>
      <c r="C5" s="12">
        <f>B5/$B$9</f>
        <v/>
      </c>
      <c r="D5" s="13" t="n">
        <v>4</v>
      </c>
      <c r="E5" s="12">
        <f>IF(B5&gt;0, D5/B5, 0)</f>
        <v/>
      </c>
      <c r="F5" s="13" t="n">
        <v>2</v>
      </c>
      <c r="G5" s="12">
        <f>IF(B5&gt;0, F5/B5, 0)</f>
        <v/>
      </c>
      <c r="H5" s="13" t="n">
        <v>4</v>
      </c>
      <c r="I5" s="12">
        <f>IF(B5&gt;0, H5/B5, 0)</f>
        <v/>
      </c>
      <c r="J5" s="13" t="n">
        <v>2</v>
      </c>
      <c r="K5" s="12">
        <f>IF(B5&gt;0, J5/B5, 0)</f>
        <v/>
      </c>
    </row>
    <row r="6" ht="20" customHeight="1">
      <c r="A6" s="10" t="inlineStr">
        <is>
          <t>Customer</t>
        </is>
      </c>
      <c r="B6" s="11" t="n">
        <v>3</v>
      </c>
      <c r="C6" s="12">
        <f>B6/$B$9</f>
        <v/>
      </c>
      <c r="D6" s="13" t="n">
        <v>0</v>
      </c>
      <c r="E6" s="12">
        <f>IF(B6&gt;0, D6/B6, 0)</f>
        <v/>
      </c>
      <c r="F6" s="13" t="n">
        <v>3</v>
      </c>
      <c r="G6" s="12">
        <f>IF(B6&gt;0, F6/B6, 0)</f>
        <v/>
      </c>
      <c r="H6" s="13" t="n">
        <v>2</v>
      </c>
      <c r="I6" s="12">
        <f>IF(B6&gt;0, H6/B6, 0)</f>
        <v/>
      </c>
      <c r="J6" s="13" t="n">
        <v>1</v>
      </c>
      <c r="K6" s="12">
        <f>IF(B6&gt;0, J6/B6, 0)</f>
        <v/>
      </c>
    </row>
    <row r="7" ht="20" customHeight="1">
      <c r="A7" s="10" t="inlineStr">
        <is>
          <t>Not specified</t>
        </is>
      </c>
      <c r="B7" s="11" t="n">
        <v>2</v>
      </c>
      <c r="C7" s="12">
        <f>B7/$B$9</f>
        <v/>
      </c>
      <c r="D7" s="13" t="n">
        <v>0</v>
      </c>
      <c r="E7" s="12">
        <f>IF(B7&gt;0, D7/B7, 0)</f>
        <v/>
      </c>
      <c r="F7" s="13" t="n">
        <v>2</v>
      </c>
      <c r="G7" s="12">
        <f>IF(B7&gt;0, F7/B7, 0)</f>
        <v/>
      </c>
      <c r="H7" s="13" t="n">
        <v>0</v>
      </c>
      <c r="I7" s="12">
        <f>IF(B7&gt;0, H7/B7, 0)</f>
        <v/>
      </c>
      <c r="J7" s="13" t="n">
        <v>2</v>
      </c>
      <c r="K7" s="12">
        <f>IF(B7&gt;0, J7/B7, 0)</f>
        <v/>
      </c>
    </row>
    <row r="8" ht="20" customHeight="1">
      <c r="A8" s="10" t="inlineStr">
        <is>
          <t>OJO</t>
        </is>
      </c>
      <c r="B8" s="11" t="n">
        <v>2</v>
      </c>
      <c r="C8" s="12">
        <f>B8/$B$9</f>
        <v/>
      </c>
      <c r="D8" s="13" t="n">
        <v>0</v>
      </c>
      <c r="E8" s="12">
        <f>IF(B8&gt;0, D8/B8, 0)</f>
        <v/>
      </c>
      <c r="F8" s="13" t="n">
        <v>2</v>
      </c>
      <c r="G8" s="12">
        <f>IF(B8&gt;0, F8/B8, 0)</f>
        <v/>
      </c>
      <c r="H8" s="13" t="n">
        <v>2</v>
      </c>
      <c r="I8" s="12">
        <f>IF(B8&gt;0, H8/B8, 0)</f>
        <v/>
      </c>
      <c r="J8" s="13" t="n">
        <v>0</v>
      </c>
      <c r="K8" s="12">
        <f>IF(B8&gt;0, J8/B8, 0)</f>
        <v/>
      </c>
    </row>
    <row r="9" ht="22" customHeight="1">
      <c r="A9" s="14" t="inlineStr">
        <is>
          <t>TOTAL</t>
        </is>
      </c>
      <c r="B9" s="15">
        <f>SUM(B5:B8)</f>
        <v/>
      </c>
      <c r="C9" s="16">
        <f>SUM(C5:C8)</f>
        <v/>
      </c>
      <c r="D9" s="15">
        <f>SUM(D5:D8)</f>
        <v/>
      </c>
      <c r="E9" s="16">
        <f>D9/B9</f>
        <v/>
      </c>
      <c r="F9" s="17">
        <f>SUM(F5:F8)</f>
        <v/>
      </c>
      <c r="G9" s="18">
        <f>F9/B9</f>
        <v/>
      </c>
      <c r="H9" s="17">
        <f>SUM(H5:H8)</f>
        <v/>
      </c>
      <c r="I9" s="18">
        <f>H9/B9</f>
        <v/>
      </c>
      <c r="J9" s="19">
        <f>SUM(J5:J8)</f>
        <v/>
      </c>
      <c r="K9" s="20">
        <f>J9/B9</f>
        <v/>
      </c>
    </row>
    <row r="10" ht="18" customHeight="1">
      <c r="A10" s="21" t="inlineStr">
        <is>
          <t>* Note: Column C represents the true 100.0% Ownership Distribution across all identified issues.</t>
        </is>
      </c>
    </row>
    <row r="12" ht="22" customHeight="1">
      <c r="A12" s="2" t="inlineStr">
        <is>
          <t>OWNER: REACH (ALL CASES - COMBINED)</t>
        </is>
      </c>
    </row>
    <row r="14">
      <c r="A14" s="22" t="inlineStr">
        <is>
          <t>ROOT CAUSE BREAKDOWN (ALL REACH CASES)</t>
        </is>
      </c>
      <c r="G14" s="23" t="inlineStr">
        <is>
          <t>ROOT CAUSE SUMMARY (ALL)</t>
        </is>
      </c>
    </row>
    <row r="15">
      <c r="A15" s="24" t="inlineStr">
        <is>
          <t>Reason</t>
        </is>
      </c>
      <c r="B15" s="24" t="inlineStr">
        <is>
          <t>Total</t>
        </is>
      </c>
      <c r="C15" s="24" t="inlineStr">
        <is>
          <t>Sub reason</t>
        </is>
      </c>
      <c r="D15" s="24" t="inlineStr">
        <is>
          <t>Cases</t>
        </is>
      </c>
      <c r="E15" s="24" t="inlineStr">
        <is>
          <t>RC (Operational Defect)</t>
        </is>
      </c>
      <c r="G15" s="25" t="inlineStr">
        <is>
          <t>Root Cause Name</t>
        </is>
      </c>
      <c r="H15" s="25" t="inlineStr">
        <is>
          <t>Count</t>
        </is>
      </c>
      <c r="I15" s="25" t="inlineStr">
        <is>
          <t>Percentage (of Reach)</t>
        </is>
      </c>
    </row>
    <row r="16" ht="19" customHeight="1">
      <c r="A16" s="26" t="inlineStr">
        <is>
          <t>Non-issue feedback</t>
        </is>
      </c>
      <c r="B16" s="13" t="n">
        <v>2</v>
      </c>
      <c r="C16" s="26" t="inlineStr">
        <is>
          <t>Positive comment</t>
        </is>
      </c>
      <c r="D16" s="13" t="n">
        <v>1</v>
      </c>
      <c r="E16" s="26" t="inlineStr">
        <is>
          <t>Score education</t>
        </is>
      </c>
      <c r="G16" s="26" t="inlineStr">
        <is>
          <t>Score education</t>
        </is>
      </c>
      <c r="H16" s="13" t="n">
        <v>2</v>
      </c>
      <c r="I16" s="12">
        <f>H16/6</f>
        <v/>
      </c>
    </row>
    <row r="17" ht="19" customHeight="1">
      <c r="A17" s="26" t="inlineStr">
        <is>
          <t>Non-issue feedback</t>
        </is>
      </c>
      <c r="B17" s="13" t="n">
        <v>2</v>
      </c>
      <c r="C17" s="26" t="inlineStr">
        <is>
          <t>No stated reason</t>
        </is>
      </c>
      <c r="D17" s="13" t="n">
        <v>1</v>
      </c>
      <c r="E17" s="26" t="inlineStr">
        <is>
          <t>Score education</t>
        </is>
      </c>
      <c r="G17" s="26" t="inlineStr">
        <is>
          <t>Backoffice operations (Contractor)</t>
        </is>
      </c>
      <c r="H17" s="13" t="n">
        <v>2</v>
      </c>
      <c r="I17" s="12">
        <f>H17/6</f>
        <v/>
      </c>
    </row>
    <row r="18" ht="19" customHeight="1">
      <c r="A18" s="26" t="inlineStr">
        <is>
          <t>Installation delay</t>
        </is>
      </c>
      <c r="B18" s="13" t="n">
        <v>2</v>
      </c>
      <c r="C18" s="26" t="inlineStr">
        <is>
          <t>Delay in dispatching</t>
        </is>
      </c>
      <c r="D18" s="13" t="n">
        <v>2</v>
      </c>
      <c r="E18" s="26" t="inlineStr">
        <is>
          <t>Backoffice operations (Contractor)</t>
        </is>
      </c>
      <c r="G18" s="26" t="inlineStr">
        <is>
          <t>Service education</t>
        </is>
      </c>
      <c r="H18" s="13" t="n">
        <v>1</v>
      </c>
      <c r="I18" s="12">
        <f>H18/6</f>
        <v/>
      </c>
    </row>
    <row r="19" ht="19" customHeight="1">
      <c r="A19" s="26" t="inlineStr">
        <is>
          <t>Field Handover &amp; Guidance</t>
        </is>
      </c>
      <c r="B19" s="13" t="n">
        <v>1</v>
      </c>
      <c r="C19" s="26" t="inlineStr">
        <is>
          <t>Technical orientation</t>
        </is>
      </c>
      <c r="D19" s="13" t="n">
        <v>1</v>
      </c>
      <c r="E19" s="26" t="inlineStr">
        <is>
          <t>Service education</t>
        </is>
      </c>
      <c r="G19" s="26" t="inlineStr">
        <is>
          <t>Bad splicing</t>
        </is>
      </c>
      <c r="H19" s="13" t="n">
        <v>1</v>
      </c>
      <c r="I19" s="12">
        <f>H19/6</f>
        <v/>
      </c>
    </row>
    <row r="20" ht="19" customHeight="1">
      <c r="A20" s="26" t="inlineStr">
        <is>
          <t>Installation quality</t>
        </is>
      </c>
      <c r="B20" s="13" t="n">
        <v>1</v>
      </c>
      <c r="C20" s="26" t="inlineStr">
        <is>
          <t>Service interruption</t>
        </is>
      </c>
      <c r="D20" s="13" t="n">
        <v>1</v>
      </c>
      <c r="E20" s="26" t="inlineStr">
        <is>
          <t>Bad splicing</t>
        </is>
      </c>
    </row>
  </sheetData>
  <mergeCells count="12">
    <mergeCell ref="F3:G3"/>
    <mergeCell ref="J3:K3"/>
    <mergeCell ref="G14:I14"/>
    <mergeCell ref="B3:C3"/>
    <mergeCell ref="A3:A4"/>
    <mergeCell ref="A2:K2"/>
    <mergeCell ref="A10:K10"/>
    <mergeCell ref="A14:E14"/>
    <mergeCell ref="D3:E3"/>
    <mergeCell ref="A1:K1"/>
    <mergeCell ref="A12:L12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2026-09-06T19:07:37Z</dcterms:created>
  <dcterms:modified xmlns:dcterms="http://purl.org/dc/terms/" xmlns:xsi="http://www.w3.org/2001/XMLSchema-instance" xsi:type="dcterms:W3CDTF">2026-09-06T19:07:37Z</dcterms:modified>
</cp:coreProperties>
</file>